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Legend" sheetId="3" state="visible" r:id="rId5"/>
  </sheets>
  <definedNames>
    <definedName function="false" hidden="true" localSheetId="0" name="_xlnm._FilterDatabase" vbProcedure="false">Tracker!$A$4:$O$21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<sst xmlns="http://schemas.openxmlformats.org/spreadsheetml/2006/main" count="137" uniqueCount="99">
  <si>
    <t xml:space="preserve">Synapse → Databricks bridge v9.5.8: implementation tracker</t>
  </si>
  <si>
    <t xml:space="preserve">Fill in the yellow columns (Owner, Status, dates, Notes). Readiness updates itself from the dependencies' status. See the Legend tab.</t>
  </si>
  <si>
    <t xml:space="preserve">ID</t>
  </si>
  <si>
    <t xml:space="preserve">Group</t>
  </si>
  <si>
    <t xml:space="preserve">Task</t>
  </si>
  <si>
    <t xml:space="preserve">Done when</t>
  </si>
  <si>
    <t xml:space="preserve">Package reference</t>
  </si>
  <si>
    <t xml:space="preserve">Dep 1</t>
  </si>
  <si>
    <t xml:space="preserve">Dep 2</t>
  </si>
  <si>
    <t xml:space="preserve">Dep 3</t>
  </si>
  <si>
    <t xml:space="preserve">Dep 4</t>
  </si>
  <si>
    <t xml:space="preserve">Owner</t>
  </si>
  <si>
    <t xml:space="preserve">Status</t>
  </si>
  <si>
    <t xml:space="preserve">Start date</t>
  </si>
  <si>
    <t xml:space="preserve">Target date</t>
  </si>
  <si>
    <t xml:space="preserve">Readiness</t>
  </si>
  <si>
    <t xml:space="preserve">Notes / risks</t>
  </si>
  <si>
    <t xml:space="preserve">A. Platform setup</t>
  </si>
  <si>
    <t xml:space="preserve">Identities and secrets</t>
  </si>
  <si>
    <t xml:space="preserve">Principals created: orchestrator, CETAS login, Synapse managed identity, four Job Run-as principals, deployment identity. The three ODBC connection strings (BRIDGE_CONTROL_ODBC, BRIDGE_SYNAPSE_AUDIT_ODBC, BRIDGE_CETAS_ODBC) are in the secret store.</t>
  </si>
  <si>
    <t xml:space="preserve">README.md step 2; WHERE_TO_ENTER_VALUES.md</t>
  </si>
  <si>
    <t xml:space="preserve">Not started</t>
  </si>
  <si>
    <t xml:space="preserve">Azure SQL control database</t>
  </si>
  <si>
    <t xml:space="preserve">01_azure_sql_control.sql run (or 03_upgrade_to_v9_5.sql for v9 to v9.5.5). One bridge.source_fence seed row inserted. Orchestration identity granted its rights, including SELECT on bridge.fence_events.</t>
  </si>
  <si>
    <t xml:space="preserve">sql/01, sql/03</t>
  </si>
  <si>
    <t xml:space="preserve">Synapse setup</t>
  </si>
  <si>
    <t xml:space="preserve">Database master key created by an administrator. 02_synapse_setup.sql run with the real ADLS LOCATION. Database-scoped CETAS grants applied. Managed identity has write/list access to staging.</t>
  </si>
  <si>
    <t xml:space="preserve">sql/02; DESIGN_v9.md section 4</t>
  </si>
  <si>
    <t xml:space="preserve">ADLS and Unity Catalog storage</t>
  </si>
  <si>
    <t xml:space="preserve">Storage credential (Access Connector) and external location created. READ FILES granted to all four Job identities. Storage firewall and serverless network access configured. Leaf-path read validated as the loader identity.</t>
  </si>
  <si>
    <t xml:space="preserve">WHERE_TO_ENTER_VALUES.md (external location)</t>
  </si>
  <si>
    <t xml:space="preserve">Control host</t>
  </si>
  <si>
    <t xml:space="preserve">Python 3.9+, ODBC Driver 18 and requirements.txt installed. Databricks unified authentication and DefaultAzureCredential working. Host can read/list staging and create job manifests under _manifests/.</t>
  </si>
  <si>
    <t xml:space="preserve">README.md step 2; requirements.txt</t>
  </si>
  <si>
    <t xml:space="preserve">B. Inventory and deployment</t>
  </si>
  <si>
    <t xml:space="preserve">First-wave inventory</t>
  </si>
  <si>
    <t xml:space="preserve">Mappings generated and exceptions reviewed. profile_thresholds added by hand, then profiled. REPLACE_TABLE / RELEASE_POINTER and groups chosen. Every &lt;...&gt; value filled. Versioned config.json saved on the control host.</t>
  </si>
  <si>
    <t xml:space="preserve">generate_mappings.py, profile_inventory.py, source_metadata.py</t>
  </si>
  <si>
    <t xml:space="preserve">Render and apply setup SQL</t>
  </si>
  <si>
    <t xml:space="preserve">render_setup.py run. azure_sql_seed.sql applied in Azure SQL; unity_catalog_setup.sql applied on a SQL warehouse. Governed policies applied to physical tables.</t>
  </si>
  <si>
    <t xml:space="preserve">render_setup.py; README.md step 5</t>
  </si>
  <si>
    <t xml:space="preserve">Databricks Jobs and Copy pipeline</t>
  </si>
  <si>
    <t xml:space="preserve">Four serverless Jobs created: auto-optimization off, timeout &lt;= 7,200 s, concurrent runs &gt;= worker limits, manifest parameters with empty defaults. Job IDs in config. Copy pipeline deployed only if COPY_ACTIVITY is used.</t>
  </si>
  <si>
    <t xml:space="preserve">WHERE_TO_ENTER_VALUES.md (Jobs); deploy_synapse_pipeline.py</t>
  </si>
  <si>
    <t xml:space="preserve">C. Controls left to you</t>
  </si>
  <si>
    <t xml:space="preserve">Upstream scheduler integration</t>
  </si>
  <si>
    <t xml:space="preserve">Existing Synapse transformations wrapped with write-start, upstream_audit.py, write-close and bridge-hold. Every source writer identity listed. Permissions that bypass the fence removed.</t>
  </si>
  <si>
    <t xml:space="preserve">fence.py; upstream_audit.py; IMPLEMENTATION_STATUS.md (fence)</t>
  </si>
  <si>
    <t xml:space="preserve">Independent source detectors</t>
  </si>
  <si>
    <t xml:space="preserve">Monitoring produces fence_evidence.json with five checks, each with an evidence URI: all_source_requests_terminal, no_source_retry_needed, audit_healthy, no_fence_violation, smoke_check_passed.</t>
  </si>
  <si>
    <t xml:space="preserve">fence.py bridge-release; IMPLEMENTATION_STATUS.md</t>
  </si>
  <si>
    <t xml:space="preserve">Policy and consumer readiness tests</t>
  </si>
  <si>
    <t xml:space="preserve">Tests run under the correct restricted identities and produce publication_evidence.json from real results (never hand-entered true values).</t>
  </si>
  <si>
    <t xml:space="preserve">publish_run.py; README.md (evidence file formats)</t>
  </si>
  <si>
    <t xml:space="preserve">Gaps needed only for your data</t>
  </si>
  <si>
    <t xml:space="preserve">Decision recorded for each: empty-result publication, TIME / time-zone / ancient-date / nested / LOB handling, staging quarantine and legal holds, rollback runbook (rollback is manual).</t>
  </si>
  <si>
    <t xml:space="preserve">IMPLEMENTATION_STATUS.md (not implemented rows)</t>
  </si>
  <si>
    <t xml:space="preserve">D. Platform testing</t>
  </si>
  <si>
    <t xml:space="preserve">End-to-end acceptance run</t>
  </si>
  <si>
    <t xml:space="preserve">One small wave runs nightly sequence end to end. Tested: values containing |, ", CR and LF; Copy Activity null and type behaviour; midnight-UTC date narrowing; managed-identity credential.</t>
  </si>
  <si>
    <t xml:space="preserve">README.md 'Also noted'; IMPLEMENTATION_STATUS.md v9.5.7</t>
  </si>
  <si>
    <t xml:space="preserve">Concurrency and recovery on the platform</t>
  </si>
  <si>
    <t xml:space="preserve">Proven: Delta row-level concurrency and conflict exception names in publish.py; Azure SQL row locks; Synapse etag / async behaviour; MANAGE + CREATE TABLE enough for CREATE OR REPLACE TABLE; timeout and takeover; recovery drills R1 to R4.</t>
  </si>
  <si>
    <t xml:space="preserve">IMPLEMENTATION_STATUS.md v9.5.2 to v9.5.8; README.md</t>
  </si>
  <si>
    <t xml:space="preserve">Performance and SLO benchmarking</t>
  </si>
  <si>
    <t xml:space="preserve">Representative full-volume objects and the full estate benchmarked. Worker and class limits and Job concurrent-run limits tuned.</t>
  </si>
  <si>
    <t xml:space="preserve">IMPLEMENTATION_STATUS.md (Throughput/SLO)</t>
  </si>
  <si>
    <t xml:space="preserve">E. Operations handover</t>
  </si>
  <si>
    <t xml:space="preserve">Scheduling, monitoring and runbooks</t>
  </si>
  <si>
    <t xml:space="preserve">Nightly sequence and weekly retention scheduled. Alerting in place. Runbooks written for R1 to R4 and rollback.</t>
  </si>
  <si>
    <t xml:space="preserve">SCRIPT_GUIDE.md Phase C and D</t>
  </si>
  <si>
    <t xml:space="preserve">Fix package documentation</t>
  </si>
  <si>
    <t xml:space="preserve">profile_thresholds statement in WHERE_TO_ENTER_VALUES.md corrected, or the block added to config.example.json.</t>
  </si>
  <si>
    <t xml:space="preserve">WHERE_TO_ENTER_VALUES.md; config.example.json</t>
  </si>
  <si>
    <t xml:space="preserve">Progress summary</t>
  </si>
  <si>
    <t xml:space="preserve">Tasks</t>
  </si>
  <si>
    <t xml:space="preserve">In progress</t>
  </si>
  <si>
    <t xml:space="preserve">Blocked</t>
  </si>
  <si>
    <t xml:space="preserve">Done</t>
  </si>
  <si>
    <t xml:space="preserve">% done</t>
  </si>
  <si>
    <t xml:space="preserve">Ready to start</t>
  </si>
  <si>
    <t xml:space="preserve">Total</t>
  </si>
  <si>
    <t xml:space="preserve">Critical path</t>
  </si>
  <si>
    <t xml:space="preserve">1 → 2 / 3 / 4 → 6 → 7 → 8 → 9 → 13 → 14 → 16</t>
  </si>
  <si>
    <t xml:space="preserve">Start 10 and 11 early: they depend on your own monitoring and governance tools.</t>
  </si>
  <si>
    <t xml:space="preserve">How to use this tracker</t>
  </si>
  <si>
    <t xml:space="preserve">Yellow cells</t>
  </si>
  <si>
    <t xml:space="preserve">The only cells to edit: Owner, Status, Start date, Target date, Notes / risks (Tracker tab).</t>
  </si>
  <si>
    <t xml:space="preserve">Pick from the list: Not started, In progress, Blocked, Done.</t>
  </si>
  <si>
    <t xml:space="preserve">Dep 1 to Dep 4</t>
  </si>
  <si>
    <t xml:space="preserve">Task IDs that must be Done first. You can change them; Readiness follows.</t>
  </si>
  <si>
    <t xml:space="preserve">Formula. Ready = every dependency is Done. Waiting = at least one is not. Done = this task is Done.</t>
  </si>
  <si>
    <t xml:space="preserve">Shown in red when it has passed and the task is not Done.</t>
  </si>
  <si>
    <t xml:space="preserve">Summary tab</t>
  </si>
  <si>
    <t xml:space="preserve">Counts and % done per group update from the Status column.</t>
  </si>
  <si>
    <t xml:space="preserve">Source</t>
  </si>
  <si>
    <t xml:space="preserve">Tasks come from the package's IMPLEMENTATION_STATUS.md, README.md and WHERE_TO_ENTER_VALUES.md (v9.5.8).</t>
  </si>
  <si>
    <t xml:space="preserve">Example row (format only)</t>
  </si>
  <si>
    <t xml:space="preserve">Owner: Priya S. | Status: In progress | Start date: 28-Sep-2026 | Target date: 02-Oct-2026 | Notes: Waiting on firewall change CHG-1234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</si>
</sst>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DE7F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DE7F6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DE7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7F7F7F"/>
      </font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34"/>
    <col collapsed="false" customWidth="true" hidden="false" outlineLevel="0" max="9" min="6" style="0" width="6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1"/>
    <col collapsed="false" customWidth="true" hidden="false" outlineLevel="0" max="15" min="15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46.25" hidden="false" customHeight="false" outlineLevel="0" collapsed="false">
      <c r="A5" s="4" t="n">
        <v>1</v>
      </c>
      <c r="B5" s="5" t="s">
        <v>17</v>
      </c>
      <c r="C5" s="6" t="s">
        <v>18</v>
      </c>
      <c r="D5" s="5" t="s">
        <v>19</v>
      </c>
      <c r="E5" s="5" t="s">
        <v>20</v>
      </c>
      <c r="F5" s="4"/>
      <c r="G5" s="4"/>
      <c r="H5" s="4"/>
      <c r="I5" s="4"/>
      <c r="J5" s="7"/>
      <c r="K5" s="8" t="s">
        <v>21</v>
      </c>
      <c r="L5" s="9"/>
      <c r="M5" s="9"/>
      <c r="N5" s="4" t="str">
        <f aca="false">IF(K5="Done","Done",IF(AND(IF(F5="",TRUE(),IFERROR(INDEX($K$5:$K$21,MATCH(F5,$A$5:$A$21,0))="Done",FALSE())),IF(G5="",TRUE(),IFERROR(INDEX($K$5:$K$21,MATCH(G5,$A$5:$A$21,0))="Done",FALSE())),IF(H5="",TRUE(),IFERROR(INDEX($K$5:$K$21,MATCH(H5,$A$5:$A$21,0))="Done",FALSE())),IF(I5="",TRUE(),IFERROR(INDEX($K$5:$K$21,MATCH(I5,$A$5:$A$21,0))="Done",FALSE()))),"Ready","Waiting"))</f>
        <v>Ready</v>
      </c>
      <c r="O5" s="7"/>
    </row>
    <row r="6" customFormat="false" ht="35.05" hidden="false" customHeight="false" outlineLevel="0" collapsed="false">
      <c r="A6" s="4" t="n">
        <v>2</v>
      </c>
      <c r="B6" s="5" t="s">
        <v>17</v>
      </c>
      <c r="C6" s="6" t="s">
        <v>22</v>
      </c>
      <c r="D6" s="5" t="s">
        <v>23</v>
      </c>
      <c r="E6" s="5" t="s">
        <v>24</v>
      </c>
      <c r="F6" s="4" t="n">
        <v>1</v>
      </c>
      <c r="G6" s="4"/>
      <c r="H6" s="4"/>
      <c r="I6" s="4"/>
      <c r="J6" s="7"/>
      <c r="K6" s="8" t="s">
        <v>21</v>
      </c>
      <c r="L6" s="9"/>
      <c r="M6" s="9"/>
      <c r="N6" s="4" t="str">
        <f aca="false">IF(K6="Done","Done",IF(AND(IF(F6="",TRUE(),IFERROR(INDEX($K$5:$K$21,MATCH(F6,$A$5:$A$21,0))="Done",FALSE())),IF(G6="",TRUE(),IFERROR(INDEX($K$5:$K$21,MATCH(G6,$A$5:$A$21,0))="Done",FALSE())),IF(H6="",TRUE(),IFERROR(INDEX($K$5:$K$21,MATCH(H6,$A$5:$A$21,0))="Done",FALSE())),IF(I6="",TRUE(),IFERROR(INDEX($K$5:$K$21,MATCH(I6,$A$5:$A$21,0))="Done",FALSE()))),"Ready","Waiting"))</f>
        <v>Waiting</v>
      </c>
      <c r="O6" s="7"/>
    </row>
    <row r="7" customFormat="false" ht="35.05" hidden="false" customHeight="false" outlineLevel="0" collapsed="false">
      <c r="A7" s="4" t="n">
        <v>3</v>
      </c>
      <c r="B7" s="5" t="s">
        <v>17</v>
      </c>
      <c r="C7" s="6" t="s">
        <v>25</v>
      </c>
      <c r="D7" s="5" t="s">
        <v>26</v>
      </c>
      <c r="E7" s="5" t="s">
        <v>27</v>
      </c>
      <c r="F7" s="4" t="n">
        <v>1</v>
      </c>
      <c r="G7" s="4"/>
      <c r="H7" s="4"/>
      <c r="I7" s="4"/>
      <c r="J7" s="7"/>
      <c r="K7" s="8" t="s">
        <v>21</v>
      </c>
      <c r="L7" s="9"/>
      <c r="M7" s="9"/>
      <c r="N7" s="4" t="str">
        <f aca="false">IF(K7="Done","Done",IF(AND(IF(F7="",TRUE(),IFERROR(INDEX($K$5:$K$21,MATCH(F7,$A$5:$A$21,0))="Done",FALSE())),IF(G7="",TRUE(),IFERROR(INDEX($K$5:$K$21,MATCH(G7,$A$5:$A$21,0))="Done",FALSE())),IF(H7="",TRUE(),IFERROR(INDEX($K$5:$K$21,MATCH(H7,$A$5:$A$21,0))="Done",FALSE())),IF(I7="",TRUE(),IFERROR(INDEX($K$5:$K$21,MATCH(I7,$A$5:$A$21,0))="Done",FALSE()))),"Ready","Waiting"))</f>
        <v>Waiting</v>
      </c>
      <c r="O7" s="7"/>
    </row>
    <row r="8" customFormat="false" ht="35.05" hidden="false" customHeight="false" outlineLevel="0" collapsed="false">
      <c r="A8" s="4" t="n">
        <v>4</v>
      </c>
      <c r="B8" s="5" t="s">
        <v>17</v>
      </c>
      <c r="C8" s="6" t="s">
        <v>28</v>
      </c>
      <c r="D8" s="5" t="s">
        <v>29</v>
      </c>
      <c r="E8" s="5" t="s">
        <v>30</v>
      </c>
      <c r="F8" s="4" t="n">
        <v>1</v>
      </c>
      <c r="G8" s="4"/>
      <c r="H8" s="4"/>
      <c r="I8" s="4"/>
      <c r="J8" s="7"/>
      <c r="K8" s="8" t="s">
        <v>21</v>
      </c>
      <c r="L8" s="9"/>
      <c r="M8" s="9"/>
      <c r="N8" s="4" t="str">
        <f aca="false">IF(K8="Done","Done",IF(AND(IF(F8="",TRUE(),IFERROR(INDEX($K$5:$K$21,MATCH(F8,$A$5:$A$21,0))="Done",FALSE())),IF(G8="",TRUE(),IFERROR(INDEX($K$5:$K$21,MATCH(G8,$A$5:$A$21,0))="Done",FALSE())),IF(H8="",TRUE(),IFERROR(INDEX($K$5:$K$21,MATCH(H8,$A$5:$A$21,0))="Done",FALSE())),IF(I8="",TRUE(),IFERROR(INDEX($K$5:$K$21,MATCH(I8,$A$5:$A$21,0))="Done",FALSE()))),"Ready","Waiting"))</f>
        <v>Waiting</v>
      </c>
      <c r="O8" s="7"/>
    </row>
    <row r="9" customFormat="false" ht="35.05" hidden="false" customHeight="false" outlineLevel="0" collapsed="false">
      <c r="A9" s="4" t="n">
        <v>5</v>
      </c>
      <c r="B9" s="5" t="s">
        <v>17</v>
      </c>
      <c r="C9" s="6" t="s">
        <v>31</v>
      </c>
      <c r="D9" s="5" t="s">
        <v>32</v>
      </c>
      <c r="E9" s="5" t="s">
        <v>33</v>
      </c>
      <c r="F9" s="4" t="n">
        <v>1</v>
      </c>
      <c r="G9" s="4"/>
      <c r="H9" s="4"/>
      <c r="I9" s="4"/>
      <c r="J9" s="7"/>
      <c r="K9" s="8" t="s">
        <v>21</v>
      </c>
      <c r="L9" s="9"/>
      <c r="M9" s="9"/>
      <c r="N9" s="4" t="str">
        <f aca="false">IF(K9="Done","Done",IF(AND(IF(F9="",TRUE(),IFERROR(INDEX($K$5:$K$21,MATCH(F9,$A$5:$A$21,0))="Done",FALSE())),IF(G9="",TRUE(),IFERROR(INDEX($K$5:$K$21,MATCH(G9,$A$5:$A$21,0))="Done",FALSE())),IF(H9="",TRUE(),IFERROR(INDEX($K$5:$K$21,MATCH(H9,$A$5:$A$21,0))="Done",FALSE())),IF(I9="",TRUE(),IFERROR(INDEX($K$5:$K$21,MATCH(I9,$A$5:$A$21,0))="Done",FALSE()))),"Ready","Waiting"))</f>
        <v>Waiting</v>
      </c>
      <c r="O9" s="7"/>
    </row>
    <row r="10" customFormat="false" ht="35.05" hidden="false" customHeight="false" outlineLevel="0" collapsed="false">
      <c r="A10" s="10" t="n">
        <v>6</v>
      </c>
      <c r="B10" s="11" t="s">
        <v>34</v>
      </c>
      <c r="C10" s="12" t="s">
        <v>35</v>
      </c>
      <c r="D10" s="11" t="s">
        <v>36</v>
      </c>
      <c r="E10" s="11" t="s">
        <v>37</v>
      </c>
      <c r="F10" s="10" t="n">
        <v>3</v>
      </c>
      <c r="G10" s="10" t="n">
        <v>5</v>
      </c>
      <c r="H10" s="10"/>
      <c r="I10" s="10"/>
      <c r="J10" s="7"/>
      <c r="K10" s="8" t="s">
        <v>21</v>
      </c>
      <c r="L10" s="9"/>
      <c r="M10" s="9"/>
      <c r="N10" s="10" t="str">
        <f aca="false">IF(K10="Done","Done",IF(AND(IF(F10="",TRUE(),IFERROR(INDEX($K$5:$K$21,MATCH(F10,$A$5:$A$21,0))="Done",FALSE())),IF(G10="",TRUE(),IFERROR(INDEX($K$5:$K$21,MATCH(G10,$A$5:$A$21,0))="Done",FALSE())),IF(H10="",TRUE(),IFERROR(INDEX($K$5:$K$21,MATCH(H10,$A$5:$A$21,0))="Done",FALSE())),IF(I10="",TRUE(),IFERROR(INDEX($K$5:$K$21,MATCH(I10,$A$5:$A$21,0))="Done",FALSE()))),"Ready","Waiting"))</f>
        <v>Waiting</v>
      </c>
      <c r="O10" s="7"/>
    </row>
    <row r="11" customFormat="false" ht="35.05" hidden="false" customHeight="false" outlineLevel="0" collapsed="false">
      <c r="A11" s="10" t="n">
        <v>7</v>
      </c>
      <c r="B11" s="11" t="s">
        <v>34</v>
      </c>
      <c r="C11" s="12" t="s">
        <v>38</v>
      </c>
      <c r="D11" s="11" t="s">
        <v>39</v>
      </c>
      <c r="E11" s="11" t="s">
        <v>40</v>
      </c>
      <c r="F11" s="10" t="n">
        <v>2</v>
      </c>
      <c r="G11" s="10" t="n">
        <v>6</v>
      </c>
      <c r="H11" s="10"/>
      <c r="I11" s="10"/>
      <c r="J11" s="7"/>
      <c r="K11" s="8" t="s">
        <v>21</v>
      </c>
      <c r="L11" s="9"/>
      <c r="M11" s="9"/>
      <c r="N11" s="10" t="str">
        <f aca="false">IF(K11="Done","Done",IF(AND(IF(F11="",TRUE(),IFERROR(INDEX($K$5:$K$21,MATCH(F11,$A$5:$A$21,0))="Done",FALSE())),IF(G11="",TRUE(),IFERROR(INDEX($K$5:$K$21,MATCH(G11,$A$5:$A$21,0))="Done",FALSE())),IF(H11="",TRUE(),IFERROR(INDEX($K$5:$K$21,MATCH(H11,$A$5:$A$21,0))="Done",FALSE())),IF(I11="",TRUE(),IFERROR(INDEX($K$5:$K$21,MATCH(I11,$A$5:$A$21,0))="Done",FALSE()))),"Ready","Waiting"))</f>
        <v>Waiting</v>
      </c>
      <c r="O11" s="7"/>
    </row>
    <row r="12" customFormat="false" ht="35.05" hidden="false" customHeight="false" outlineLevel="0" collapsed="false">
      <c r="A12" s="10" t="n">
        <v>8</v>
      </c>
      <c r="B12" s="11" t="s">
        <v>34</v>
      </c>
      <c r="C12" s="12" t="s">
        <v>41</v>
      </c>
      <c r="D12" s="11" t="s">
        <v>42</v>
      </c>
      <c r="E12" s="11" t="s">
        <v>43</v>
      </c>
      <c r="F12" s="10" t="n">
        <v>1</v>
      </c>
      <c r="G12" s="10" t="n">
        <v>4</v>
      </c>
      <c r="H12" s="10" t="n">
        <v>6</v>
      </c>
      <c r="I12" s="10"/>
      <c r="J12" s="7"/>
      <c r="K12" s="8" t="s">
        <v>21</v>
      </c>
      <c r="L12" s="9"/>
      <c r="M12" s="9"/>
      <c r="N12" s="10" t="str">
        <f aca="false">IF(K12="Done","Done",IF(AND(IF(F12="",TRUE(),IFERROR(INDEX($K$5:$K$21,MATCH(F12,$A$5:$A$21,0))="Done",FALSE())),IF(G12="",TRUE(),IFERROR(INDEX($K$5:$K$21,MATCH(G12,$A$5:$A$21,0))="Done",FALSE())),IF(H12="",TRUE(),IFERROR(INDEX($K$5:$K$21,MATCH(H12,$A$5:$A$21,0))="Done",FALSE())),IF(I12="",TRUE(),IFERROR(INDEX($K$5:$K$21,MATCH(I12,$A$5:$A$21,0))="Done",FALSE()))),"Ready","Waiting"))</f>
        <v>Waiting</v>
      </c>
      <c r="O12" s="7"/>
    </row>
    <row r="13" customFormat="false" ht="35.05" hidden="false" customHeight="false" outlineLevel="0" collapsed="false">
      <c r="A13" s="13" t="n">
        <v>9</v>
      </c>
      <c r="B13" s="14" t="s">
        <v>44</v>
      </c>
      <c r="C13" s="15" t="s">
        <v>45</v>
      </c>
      <c r="D13" s="14" t="s">
        <v>46</v>
      </c>
      <c r="E13" s="14" t="s">
        <v>47</v>
      </c>
      <c r="F13" s="13" t="n">
        <v>2</v>
      </c>
      <c r="G13" s="13" t="n">
        <v>3</v>
      </c>
      <c r="H13" s="13"/>
      <c r="I13" s="13"/>
      <c r="J13" s="7"/>
      <c r="K13" s="8" t="s">
        <v>21</v>
      </c>
      <c r="L13" s="9"/>
      <c r="M13" s="9"/>
      <c r="N13" s="13" t="str">
        <f aca="false">IF(K13="Done","Done",IF(AND(IF(F13="",TRUE(),IFERROR(INDEX($K$5:$K$21,MATCH(F13,$A$5:$A$21,0))="Done",FALSE())),IF(G13="",TRUE(),IFERROR(INDEX($K$5:$K$21,MATCH(G13,$A$5:$A$21,0))="Done",FALSE())),IF(H13="",TRUE(),IFERROR(INDEX($K$5:$K$21,MATCH(H13,$A$5:$A$21,0))="Done",FALSE())),IF(I13="",TRUE(),IFERROR(INDEX($K$5:$K$21,MATCH(I13,$A$5:$A$21,0))="Done",FALSE()))),"Ready","Waiting"))</f>
        <v>Waiting</v>
      </c>
      <c r="O13" s="7"/>
    </row>
    <row r="14" customFormat="false" ht="35.05" hidden="false" customHeight="false" outlineLevel="0" collapsed="false">
      <c r="A14" s="13" t="n">
        <v>10</v>
      </c>
      <c r="B14" s="14" t="s">
        <v>44</v>
      </c>
      <c r="C14" s="15" t="s">
        <v>48</v>
      </c>
      <c r="D14" s="14" t="s">
        <v>49</v>
      </c>
      <c r="E14" s="14" t="s">
        <v>50</v>
      </c>
      <c r="F14" s="13" t="n">
        <v>9</v>
      </c>
      <c r="G14" s="13"/>
      <c r="H14" s="13"/>
      <c r="I14" s="13"/>
      <c r="J14" s="7"/>
      <c r="K14" s="8" t="s">
        <v>21</v>
      </c>
      <c r="L14" s="9"/>
      <c r="M14" s="9"/>
      <c r="N14" s="13" t="str">
        <f aca="false">IF(K14="Done","Done",IF(AND(IF(F14="",TRUE(),IFERROR(INDEX($K$5:$K$21,MATCH(F14,$A$5:$A$21,0))="Done",FALSE())),IF(G14="",TRUE(),IFERROR(INDEX($K$5:$K$21,MATCH(G14,$A$5:$A$21,0))="Done",FALSE())),IF(H14="",TRUE(),IFERROR(INDEX($K$5:$K$21,MATCH(H14,$A$5:$A$21,0))="Done",FALSE())),IF(I14="",TRUE(),IFERROR(INDEX($K$5:$K$21,MATCH(I14,$A$5:$A$21,0))="Done",FALSE()))),"Ready","Waiting"))</f>
        <v>Waiting</v>
      </c>
      <c r="O14" s="7"/>
    </row>
    <row r="15" customFormat="false" ht="23.85" hidden="false" customHeight="false" outlineLevel="0" collapsed="false">
      <c r="A15" s="13" t="n">
        <v>11</v>
      </c>
      <c r="B15" s="14" t="s">
        <v>44</v>
      </c>
      <c r="C15" s="15" t="s">
        <v>51</v>
      </c>
      <c r="D15" s="14" t="s">
        <v>52</v>
      </c>
      <c r="E15" s="14" t="s">
        <v>53</v>
      </c>
      <c r="F15" s="13" t="n">
        <v>7</v>
      </c>
      <c r="G15" s="13"/>
      <c r="H15" s="13"/>
      <c r="I15" s="13"/>
      <c r="J15" s="7"/>
      <c r="K15" s="8" t="s">
        <v>21</v>
      </c>
      <c r="L15" s="9"/>
      <c r="M15" s="9"/>
      <c r="N15" s="13" t="str">
        <f aca="false">IF(K15="Done","Done",IF(AND(IF(F15="",TRUE(),IFERROR(INDEX($K$5:$K$21,MATCH(F15,$A$5:$A$21,0))="Done",FALSE())),IF(G15="",TRUE(),IFERROR(INDEX($K$5:$K$21,MATCH(G15,$A$5:$A$21,0))="Done",FALSE())),IF(H15="",TRUE(),IFERROR(INDEX($K$5:$K$21,MATCH(H15,$A$5:$A$21,0))="Done",FALSE())),IF(I15="",TRUE(),IFERROR(INDEX($K$5:$K$21,MATCH(I15,$A$5:$A$21,0))="Done",FALSE()))),"Ready","Waiting"))</f>
        <v>Waiting</v>
      </c>
      <c r="O15" s="7"/>
    </row>
    <row r="16" customFormat="false" ht="35.05" hidden="false" customHeight="false" outlineLevel="0" collapsed="false">
      <c r="A16" s="13" t="n">
        <v>12</v>
      </c>
      <c r="B16" s="14" t="s">
        <v>44</v>
      </c>
      <c r="C16" s="15" t="s">
        <v>54</v>
      </c>
      <c r="D16" s="14" t="s">
        <v>55</v>
      </c>
      <c r="E16" s="14" t="s">
        <v>56</v>
      </c>
      <c r="F16" s="13" t="n">
        <v>6</v>
      </c>
      <c r="G16" s="13"/>
      <c r="H16" s="13"/>
      <c r="I16" s="13"/>
      <c r="J16" s="7"/>
      <c r="K16" s="8" t="s">
        <v>21</v>
      </c>
      <c r="L16" s="9"/>
      <c r="M16" s="9"/>
      <c r="N16" s="13" t="str">
        <f aca="false">IF(K16="Done","Done",IF(AND(IF(F16="",TRUE(),IFERROR(INDEX($K$5:$K$21,MATCH(F16,$A$5:$A$21,0))="Done",FALSE())),IF(G16="",TRUE(),IFERROR(INDEX($K$5:$K$21,MATCH(G16,$A$5:$A$21,0))="Done",FALSE())),IF(H16="",TRUE(),IFERROR(INDEX($K$5:$K$21,MATCH(H16,$A$5:$A$21,0))="Done",FALSE())),IF(I16="",TRUE(),IFERROR(INDEX($K$5:$K$21,MATCH(I16,$A$5:$A$21,0))="Done",FALSE()))),"Ready","Waiting"))</f>
        <v>Waiting</v>
      </c>
      <c r="O16" s="7"/>
    </row>
    <row r="17" customFormat="false" ht="35.05" hidden="false" customHeight="false" outlineLevel="0" collapsed="false">
      <c r="A17" s="16" t="n">
        <v>13</v>
      </c>
      <c r="B17" s="17" t="s">
        <v>57</v>
      </c>
      <c r="C17" s="18" t="s">
        <v>58</v>
      </c>
      <c r="D17" s="17" t="s">
        <v>59</v>
      </c>
      <c r="E17" s="17" t="s">
        <v>60</v>
      </c>
      <c r="F17" s="16" t="n">
        <v>8</v>
      </c>
      <c r="G17" s="16" t="n">
        <v>9</v>
      </c>
      <c r="H17" s="16" t="n">
        <v>10</v>
      </c>
      <c r="I17" s="16" t="n">
        <v>11</v>
      </c>
      <c r="J17" s="7"/>
      <c r="K17" s="8" t="s">
        <v>21</v>
      </c>
      <c r="L17" s="9"/>
      <c r="M17" s="9"/>
      <c r="N17" s="16" t="str">
        <f aca="false">IF(K17="Done","Done",IF(AND(IF(F17="",TRUE(),IFERROR(INDEX($K$5:$K$21,MATCH(F17,$A$5:$A$21,0))="Done",FALSE())),IF(G17="",TRUE(),IFERROR(INDEX($K$5:$K$21,MATCH(G17,$A$5:$A$21,0))="Done",FALSE())),IF(H17="",TRUE(),IFERROR(INDEX($K$5:$K$21,MATCH(H17,$A$5:$A$21,0))="Done",FALSE())),IF(I17="",TRUE(),IFERROR(INDEX($K$5:$K$21,MATCH(I17,$A$5:$A$21,0))="Done",FALSE()))),"Ready","Waiting"))</f>
        <v>Waiting</v>
      </c>
      <c r="O17" s="7"/>
    </row>
    <row r="18" customFormat="false" ht="35.05" hidden="false" customHeight="false" outlineLevel="0" collapsed="false">
      <c r="A18" s="16" t="n">
        <v>14</v>
      </c>
      <c r="B18" s="17" t="s">
        <v>57</v>
      </c>
      <c r="C18" s="18" t="s">
        <v>61</v>
      </c>
      <c r="D18" s="17" t="s">
        <v>62</v>
      </c>
      <c r="E18" s="17" t="s">
        <v>63</v>
      </c>
      <c r="F18" s="16" t="n">
        <v>13</v>
      </c>
      <c r="G18" s="16"/>
      <c r="H18" s="16"/>
      <c r="I18" s="16"/>
      <c r="J18" s="7"/>
      <c r="K18" s="8" t="s">
        <v>21</v>
      </c>
      <c r="L18" s="9"/>
      <c r="M18" s="9"/>
      <c r="N18" s="16" t="str">
        <f aca="false">IF(K18="Done","Done",IF(AND(IF(F18="",TRUE(),IFERROR(INDEX($K$5:$K$21,MATCH(F18,$A$5:$A$21,0))="Done",FALSE())),IF(G18="",TRUE(),IFERROR(INDEX($K$5:$K$21,MATCH(G18,$A$5:$A$21,0))="Done",FALSE())),IF(H18="",TRUE(),IFERROR(INDEX($K$5:$K$21,MATCH(H18,$A$5:$A$21,0))="Done",FALSE())),IF(I18="",TRUE(),IFERROR(INDEX($K$5:$K$21,MATCH(I18,$A$5:$A$21,0))="Done",FALSE()))),"Ready","Waiting"))</f>
        <v>Waiting</v>
      </c>
      <c r="O18" s="7"/>
    </row>
    <row r="19" customFormat="false" ht="23.85" hidden="false" customHeight="false" outlineLevel="0" collapsed="false">
      <c r="A19" s="16" t="n">
        <v>15</v>
      </c>
      <c r="B19" s="17" t="s">
        <v>57</v>
      </c>
      <c r="C19" s="18" t="s">
        <v>64</v>
      </c>
      <c r="D19" s="17" t="s">
        <v>65</v>
      </c>
      <c r="E19" s="17" t="s">
        <v>66</v>
      </c>
      <c r="F19" s="16" t="n">
        <v>13</v>
      </c>
      <c r="G19" s="16"/>
      <c r="H19" s="16"/>
      <c r="I19" s="16"/>
      <c r="J19" s="7"/>
      <c r="K19" s="8" t="s">
        <v>21</v>
      </c>
      <c r="L19" s="9"/>
      <c r="M19" s="9"/>
      <c r="N19" s="16" t="str">
        <f aca="false">IF(K19="Done","Done",IF(AND(IF(F19="",TRUE(),IFERROR(INDEX($K$5:$K$21,MATCH(F19,$A$5:$A$21,0))="Done",FALSE())),IF(G19="",TRUE(),IFERROR(INDEX($K$5:$K$21,MATCH(G19,$A$5:$A$21,0))="Done",FALSE())),IF(H19="",TRUE(),IFERROR(INDEX($K$5:$K$21,MATCH(H19,$A$5:$A$21,0))="Done",FALSE())),IF(I19="",TRUE(),IFERROR(INDEX($K$5:$K$21,MATCH(I19,$A$5:$A$21,0))="Done",FALSE()))),"Ready","Waiting"))</f>
        <v>Waiting</v>
      </c>
      <c r="O19" s="7"/>
    </row>
    <row r="20" customFormat="false" ht="23.85" hidden="false" customHeight="false" outlineLevel="0" collapsed="false">
      <c r="A20" s="19" t="n">
        <v>16</v>
      </c>
      <c r="B20" s="20" t="s">
        <v>67</v>
      </c>
      <c r="C20" s="21" t="s">
        <v>68</v>
      </c>
      <c r="D20" s="20" t="s">
        <v>69</v>
      </c>
      <c r="E20" s="20" t="s">
        <v>70</v>
      </c>
      <c r="F20" s="19" t="n">
        <v>14</v>
      </c>
      <c r="G20" s="19" t="n">
        <v>15</v>
      </c>
      <c r="H20" s="19"/>
      <c r="I20" s="19"/>
      <c r="J20" s="7"/>
      <c r="K20" s="8" t="s">
        <v>21</v>
      </c>
      <c r="L20" s="9"/>
      <c r="M20" s="9"/>
      <c r="N20" s="19" t="str">
        <f aca="false">IF(K20="Done","Done",IF(AND(IF(F20="",TRUE(),IFERROR(INDEX($K$5:$K$21,MATCH(F20,$A$5:$A$21,0))="Done",FALSE())),IF(G20="",TRUE(),IFERROR(INDEX($K$5:$K$21,MATCH(G20,$A$5:$A$21,0))="Done",FALSE())),IF(H20="",TRUE(),IFERROR(INDEX($K$5:$K$21,MATCH(H20,$A$5:$A$21,0))="Done",FALSE())),IF(I20="",TRUE(),IFERROR(INDEX($K$5:$K$21,MATCH(I20,$A$5:$A$21,0))="Done",FALSE()))),"Ready","Waiting"))</f>
        <v>Waiting</v>
      </c>
      <c r="O20" s="7"/>
    </row>
    <row r="21" customFormat="false" ht="23.85" hidden="false" customHeight="false" outlineLevel="0" collapsed="false">
      <c r="A21" s="19" t="n">
        <v>17</v>
      </c>
      <c r="B21" s="20" t="s">
        <v>67</v>
      </c>
      <c r="C21" s="21" t="s">
        <v>71</v>
      </c>
      <c r="D21" s="20" t="s">
        <v>72</v>
      </c>
      <c r="E21" s="20" t="s">
        <v>73</v>
      </c>
      <c r="F21" s="19"/>
      <c r="G21" s="19"/>
      <c r="H21" s="19"/>
      <c r="I21" s="19"/>
      <c r="J21" s="7"/>
      <c r="K21" s="8" t="s">
        <v>21</v>
      </c>
      <c r="L21" s="9"/>
      <c r="M21" s="9"/>
      <c r="N21" s="19" t="str">
        <f aca="false">IF(K21="Done","Done",IF(AND(IF(F21="",TRUE(),IFERROR(INDEX($K$5:$K$21,MATCH(F21,$A$5:$A$21,0))="Done",FALSE())),IF(G21="",TRUE(),IFERROR(INDEX($K$5:$K$21,MATCH(G21,$A$5:$A$21,0))="Done",FALSE())),IF(H21="",TRUE(),IFERROR(INDEX($K$5:$K$21,MATCH(H21,$A$5:$A$21,0))="Done",FALSE())),IF(I21="",TRUE(),IFERROR(INDEX($K$5:$K$21,MATCH(I21,$A$5:$A$21,0))="Done",FALSE()))),"Ready","Waiting"))</f>
        <v>Ready</v>
      </c>
      <c r="O21" s="7"/>
    </row>
  </sheetData>
  <autoFilter ref="A4:O21"/>
  <conditionalFormatting sqref="N5:N21">
    <cfRule type="expression" priority="2" aboveAverage="0" equalAverage="0" bottom="0" percent="0" rank="0" text="" dxfId="11">
      <formula>N5="Ready"</formula>
    </cfRule>
    <cfRule type="expression" priority="3" aboveAverage="0" equalAverage="0" bottom="0" percent="0" rank="0" text="" dxfId="12">
      <formula>N5="Done"</formula>
    </cfRule>
  </conditionalFormatting>
  <conditionalFormatting sqref="K5:K21">
    <cfRule type="expression" priority="4" aboveAverage="0" equalAverage="0" bottom="0" percent="0" rank="0" text="" dxfId="13">
      <formula>K5="Blocked"</formula>
    </cfRule>
  </conditionalFormatting>
  <conditionalFormatting sqref="M5:M21">
    <cfRule type="expression" priority="5" aboveAverage="0" equalAverage="0" bottom="0" percent="0" rank="0" text="" dxfId="14">
      <formula>AND(M5&lt;&gt;"",M5&lt;TODAY(),K5&lt;&gt;"Done")</formula>
    </cfRule>
  </conditionalFormatting>
  <dataValidations count="1">
    <dataValidation allowBlank="false" errorStyle="stop" operator="between" showDropDown="false" showErrorMessage="false" showInputMessage="false" sqref="K5:K21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A3" s="22" t="s">
        <v>3</v>
      </c>
      <c r="B3" s="22" t="s">
        <v>75</v>
      </c>
      <c r="C3" s="22" t="s">
        <v>21</v>
      </c>
      <c r="D3" s="22" t="s">
        <v>76</v>
      </c>
      <c r="E3" s="22" t="s">
        <v>77</v>
      </c>
      <c r="F3" s="22" t="s">
        <v>78</v>
      </c>
      <c r="G3" s="22" t="s">
        <v>79</v>
      </c>
      <c r="H3" s="22" t="s">
        <v>80</v>
      </c>
    </row>
    <row r="4" customFormat="false" ht="15" hidden="false" customHeight="false" outlineLevel="0" collapsed="false">
      <c r="A4" s="23" t="s">
        <v>17</v>
      </c>
      <c r="B4" s="24" t="n">
        <f aca="false">COUNTIF(Tracker!$B$5:$B$21,A4)</f>
        <v>5</v>
      </c>
      <c r="C4" s="24" t="n">
        <f aca="false">COUNTIFS(Tracker!$B$5:$B$21,$A4,Tracker!$K$5:$K$21,"Not started")</f>
        <v>5</v>
      </c>
      <c r="D4" s="24" t="n">
        <f aca="false">COUNTIFS(Tracker!$B$5:$B$21,$A4,Tracker!$K$5:$K$21,"In progress")</f>
        <v>0</v>
      </c>
      <c r="E4" s="24" t="n">
        <f aca="false">COUNTIFS(Tracker!$B$5:$B$21,$A4,Tracker!$K$5:$K$21,"Blocked")</f>
        <v>0</v>
      </c>
      <c r="F4" s="24" t="n">
        <f aca="false">COUNTIFS(Tracker!$B$5:$B$21,$A4,Tracker!$K$5:$K$21,"Done")</f>
        <v>0</v>
      </c>
      <c r="G4" s="25" t="n">
        <f aca="false">IF(B4=0,0,F4/B4)</f>
        <v>0</v>
      </c>
      <c r="H4" s="24" t="n">
        <f aca="false">COUNTIFS(Tracker!$B$5:$B$21,$A4,Tracker!$N$5:$N$21,"Ready")</f>
        <v>1</v>
      </c>
    </row>
    <row r="5" customFormat="false" ht="15" hidden="false" customHeight="false" outlineLevel="0" collapsed="false">
      <c r="A5" s="23" t="s">
        <v>34</v>
      </c>
      <c r="B5" s="24" t="n">
        <f aca="false">COUNTIF(Tracker!$B$5:$B$21,A5)</f>
        <v>3</v>
      </c>
      <c r="C5" s="24" t="n">
        <f aca="false">COUNTIFS(Tracker!$B$5:$B$21,$A5,Tracker!$K$5:$K$21,"Not started")</f>
        <v>3</v>
      </c>
      <c r="D5" s="24" t="n">
        <f aca="false">COUNTIFS(Tracker!$B$5:$B$21,$A5,Tracker!$K$5:$K$21,"In progress")</f>
        <v>0</v>
      </c>
      <c r="E5" s="24" t="n">
        <f aca="false">COUNTIFS(Tracker!$B$5:$B$21,$A5,Tracker!$K$5:$K$21,"Blocked")</f>
        <v>0</v>
      </c>
      <c r="F5" s="24" t="n">
        <f aca="false">COUNTIFS(Tracker!$B$5:$B$21,$A5,Tracker!$K$5:$K$21,"Done")</f>
        <v>0</v>
      </c>
      <c r="G5" s="25" t="n">
        <f aca="false">IF(B5=0,0,F5/B5)</f>
        <v>0</v>
      </c>
      <c r="H5" s="24" t="n">
        <f aca="false">COUNTIFS(Tracker!$B$5:$B$21,$A5,Tracker!$N$5:$N$21,"Ready")</f>
        <v>0</v>
      </c>
    </row>
    <row r="6" customFormat="false" ht="15" hidden="false" customHeight="false" outlineLevel="0" collapsed="false">
      <c r="A6" s="23" t="s">
        <v>44</v>
      </c>
      <c r="B6" s="24" t="n">
        <f aca="false">COUNTIF(Tracker!$B$5:$B$21,A6)</f>
        <v>4</v>
      </c>
      <c r="C6" s="24" t="n">
        <f aca="false">COUNTIFS(Tracker!$B$5:$B$21,$A6,Tracker!$K$5:$K$21,"Not started")</f>
        <v>4</v>
      </c>
      <c r="D6" s="24" t="n">
        <f aca="false">COUNTIFS(Tracker!$B$5:$B$21,$A6,Tracker!$K$5:$K$21,"In progress")</f>
        <v>0</v>
      </c>
      <c r="E6" s="24" t="n">
        <f aca="false">COUNTIFS(Tracker!$B$5:$B$21,$A6,Tracker!$K$5:$K$21,"Blocked")</f>
        <v>0</v>
      </c>
      <c r="F6" s="24" t="n">
        <f aca="false">COUNTIFS(Tracker!$B$5:$B$21,$A6,Tracker!$K$5:$K$21,"Done")</f>
        <v>0</v>
      </c>
      <c r="G6" s="25" t="n">
        <f aca="false">IF(B6=0,0,F6/B6)</f>
        <v>0</v>
      </c>
      <c r="H6" s="24" t="n">
        <f aca="false">COUNTIFS(Tracker!$B$5:$B$21,$A6,Tracker!$N$5:$N$21,"Ready")</f>
        <v>0</v>
      </c>
    </row>
    <row r="7" customFormat="false" ht="15" hidden="false" customHeight="false" outlineLevel="0" collapsed="false">
      <c r="A7" s="23" t="s">
        <v>57</v>
      </c>
      <c r="B7" s="24" t="n">
        <f aca="false">COUNTIF(Tracker!$B$5:$B$21,A7)</f>
        <v>3</v>
      </c>
      <c r="C7" s="24" t="n">
        <f aca="false">COUNTIFS(Tracker!$B$5:$B$21,$A7,Tracker!$K$5:$K$21,"Not started")</f>
        <v>3</v>
      </c>
      <c r="D7" s="24" t="n">
        <f aca="false">COUNTIFS(Tracker!$B$5:$B$21,$A7,Tracker!$K$5:$K$21,"In progress")</f>
        <v>0</v>
      </c>
      <c r="E7" s="24" t="n">
        <f aca="false">COUNTIFS(Tracker!$B$5:$B$21,$A7,Tracker!$K$5:$K$21,"Blocked")</f>
        <v>0</v>
      </c>
      <c r="F7" s="24" t="n">
        <f aca="false">COUNTIFS(Tracker!$B$5:$B$21,$A7,Tracker!$K$5:$K$21,"Done")</f>
        <v>0</v>
      </c>
      <c r="G7" s="25" t="n">
        <f aca="false">IF(B7=0,0,F7/B7)</f>
        <v>0</v>
      </c>
      <c r="H7" s="24" t="n">
        <f aca="false">COUNTIFS(Tracker!$B$5:$B$21,$A7,Tracker!$N$5:$N$21,"Ready")</f>
        <v>0</v>
      </c>
    </row>
    <row r="8" customFormat="false" ht="15" hidden="false" customHeight="false" outlineLevel="0" collapsed="false">
      <c r="A8" s="23" t="s">
        <v>67</v>
      </c>
      <c r="B8" s="24" t="n">
        <f aca="false">COUNTIF(Tracker!$B$5:$B$21,A8)</f>
        <v>2</v>
      </c>
      <c r="C8" s="24" t="n">
        <f aca="false">COUNTIFS(Tracker!$B$5:$B$21,$A8,Tracker!$K$5:$K$21,"Not started")</f>
        <v>2</v>
      </c>
      <c r="D8" s="24" t="n">
        <f aca="false">COUNTIFS(Tracker!$B$5:$B$21,$A8,Tracker!$K$5:$K$21,"In progress")</f>
        <v>0</v>
      </c>
      <c r="E8" s="24" t="n">
        <f aca="false">COUNTIFS(Tracker!$B$5:$B$21,$A8,Tracker!$K$5:$K$21,"Blocked")</f>
        <v>0</v>
      </c>
      <c r="F8" s="24" t="n">
        <f aca="false">COUNTIFS(Tracker!$B$5:$B$21,$A8,Tracker!$K$5:$K$21,"Done")</f>
        <v>0</v>
      </c>
      <c r="G8" s="25" t="n">
        <f aca="false">IF(B8=0,0,F8/B8)</f>
        <v>0</v>
      </c>
      <c r="H8" s="24" t="n">
        <f aca="false">COUNTIFS(Tracker!$B$5:$B$21,$A8,Tracker!$N$5:$N$21,"Ready")</f>
        <v>1</v>
      </c>
    </row>
    <row r="9" customFormat="false" ht="15" hidden="false" customHeight="false" outlineLevel="0" collapsed="false">
      <c r="A9" s="26" t="s">
        <v>81</v>
      </c>
      <c r="B9" s="27" t="n">
        <f aca="false">SUM(B4:B8)</f>
        <v>17</v>
      </c>
      <c r="C9" s="27" t="n">
        <f aca="false">SUM(C4:C8)</f>
        <v>17</v>
      </c>
      <c r="D9" s="27" t="n">
        <f aca="false">SUM(D4:D8)</f>
        <v>0</v>
      </c>
      <c r="E9" s="27" t="n">
        <f aca="false">SUM(E4:E8)</f>
        <v>0</v>
      </c>
      <c r="F9" s="27" t="n">
        <f aca="false">SUM(F4:F8)</f>
        <v>0</v>
      </c>
      <c r="G9" s="28" t="n">
        <f aca="false">IF(B9=0,0,F9/B9)</f>
        <v>0</v>
      </c>
      <c r="H9" s="27" t="n">
        <f aca="false">SUM(H4:H8)</f>
        <v>2</v>
      </c>
    </row>
    <row r="11" customFormat="false" ht="15" hidden="false" customHeight="false" outlineLevel="0" collapsed="false">
      <c r="A11" s="29" t="s">
        <v>82</v>
      </c>
    </row>
    <row r="12" customFormat="false" ht="15" hidden="false" customHeight="false" outlineLevel="0" collapsed="false">
      <c r="A12" s="30" t="s">
        <v>83</v>
      </c>
    </row>
    <row r="13" customFormat="false" ht="15" hidden="false" customHeight="false" outlineLevel="0" collapsed="false">
      <c r="A13" s="3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2" t="s">
        <v>86</v>
      </c>
      <c r="B3" s="33" t="s">
        <v>87</v>
      </c>
    </row>
    <row r="4" customFormat="false" ht="15" hidden="false" customHeight="false" outlineLevel="0" collapsed="false">
      <c r="A4" s="34" t="s">
        <v>12</v>
      </c>
      <c r="B4" s="33" t="s">
        <v>88</v>
      </c>
    </row>
    <row r="5" customFormat="false" ht="15" hidden="false" customHeight="false" outlineLevel="0" collapsed="false">
      <c r="A5" s="34" t="s">
        <v>89</v>
      </c>
      <c r="B5" s="33" t="s">
        <v>90</v>
      </c>
    </row>
    <row r="6" customFormat="false" ht="15" hidden="false" customHeight="false" outlineLevel="0" collapsed="false">
      <c r="A6" s="34" t="s">
        <v>15</v>
      </c>
      <c r="B6" s="33" t="s">
        <v>91</v>
      </c>
    </row>
    <row r="7" customFormat="false" ht="15" hidden="false" customHeight="false" outlineLevel="0" collapsed="false">
      <c r="A7" s="34" t="s">
        <v>14</v>
      </c>
      <c r="B7" s="33" t="s">
        <v>92</v>
      </c>
    </row>
    <row r="8" customFormat="false" ht="15" hidden="false" customHeight="false" outlineLevel="0" collapsed="false">
      <c r="A8" s="34" t="s">
        <v>93</v>
      </c>
      <c r="B8" s="33" t="s">
        <v>94</v>
      </c>
    </row>
    <row r="9" customFormat="false" ht="23.85" hidden="false" customHeight="false" outlineLevel="0" collapsed="false">
      <c r="A9" s="34" t="s">
        <v>95</v>
      </c>
      <c r="B9" s="33" t="s">
        <v>96</v>
      </c>
    </row>
    <row r="10" customFormat="false" ht="15" hidden="false" customHeight="false" outlineLevel="0" collapsed="false">
      <c r="A10" s="34"/>
      <c r="B10" s="33"/>
    </row>
    <row r="11" customFormat="false" ht="23.85" hidden="false" customHeight="false" outlineLevel="0" collapsed="false">
      <c r="A11" s="34" t="s">
        <v>97</v>
      </c>
      <c r="B11" s="33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2026-09-23T23:29:13Z</dcterms:created>
  <dc:creator>openpyxl</dc:creator>
  <dc:description/>
  <dc:language>en-US</dc:language>
  <cp:lastModifiedBy/>
  <dcterms:modified xsi:type="dcterms:W3CDTF">2026-09-23T23:29:13Z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